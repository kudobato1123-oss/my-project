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.Huy\Desktop\"/>
    </mc:Choice>
  </mc:AlternateContent>
  <xr:revisionPtr revIDLastSave="0" documentId="13_ncr:1_{FF0A02C7-D06E-4546-8728-2CD521C97DB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ONG_HOP" sheetId="2" r:id="rId1"/>
    <sheet name="DATA_NHAP" sheetId="1" r:id="rId2"/>
    <sheet name="CODE N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J8" i="2"/>
  <c r="J9" i="2"/>
  <c r="J10" i="2"/>
  <c r="J11" i="2"/>
  <c r="K8" i="2"/>
  <c r="K9" i="2"/>
  <c r="K10" i="2"/>
  <c r="K11" i="2"/>
  <c r="B3" i="2" l="1"/>
  <c r="G7" i="2" s="1"/>
  <c r="C7" i="2"/>
  <c r="C6" i="2"/>
  <c r="D3" i="1"/>
  <c r="F3" i="1" s="1"/>
  <c r="G3" i="1" s="1"/>
  <c r="D4" i="1"/>
  <c r="F4" i="1" s="1"/>
  <c r="G4" i="1" s="1"/>
  <c r="D5" i="1"/>
  <c r="F5" i="1" s="1"/>
  <c r="G5" i="1" s="1"/>
  <c r="D6" i="1"/>
  <c r="F6" i="1" s="1"/>
  <c r="G6" i="1" s="1"/>
  <c r="D2" i="1"/>
  <c r="F2" i="1" s="1"/>
  <c r="G2" i="1" s="1"/>
  <c r="G6" i="2" l="1"/>
  <c r="E6" i="2"/>
  <c r="E7" i="2"/>
  <c r="H7" i="2" s="1"/>
  <c r="J7" i="2" s="1"/>
  <c r="K7" i="2" l="1"/>
  <c r="H6" i="2"/>
  <c r="J6" i="2" s="1"/>
  <c r="K6" i="2" l="1"/>
</calcChain>
</file>

<file path=xl/sharedStrings.xml><?xml version="1.0" encoding="utf-8"?>
<sst xmlns="http://schemas.openxmlformats.org/spreadsheetml/2006/main" count="114" uniqueCount="76">
  <si>
    <t>Ngay</t>
  </si>
  <si>
    <t>Chuyen</t>
  </si>
  <si>
    <t>Ma_hang</t>
  </si>
  <si>
    <t>Thuc_te</t>
  </si>
  <si>
    <t>C10</t>
  </si>
  <si>
    <t>GHEP</t>
  </si>
  <si>
    <t>Các ngày nghỉ trong năm</t>
  </si>
  <si>
    <t>Ngày chốt 188</t>
  </si>
  <si>
    <t>Năng suất KH</t>
  </si>
  <si>
    <t>C11</t>
  </si>
  <si>
    <t>Chuyền</t>
  </si>
  <si>
    <t>Mã hàng</t>
  </si>
  <si>
    <t>SỐ LƯỢNG KẾ HOẠCH</t>
  </si>
  <si>
    <t>Tổng nhập 188</t>
  </si>
  <si>
    <t>Số ngày còn lại</t>
  </si>
  <si>
    <t>Năng suất mỗi ngày</t>
  </si>
  <si>
    <t>Cảnh báo</t>
  </si>
  <si>
    <t>Ngày báo cáo</t>
  </si>
  <si>
    <t>Tình trạng</t>
  </si>
  <si>
    <t>Ke_hoach</t>
  </si>
  <si>
    <t>Ti_le_%</t>
  </si>
  <si>
    <t xml:space="preserve">BP chịu trách </t>
  </si>
  <si>
    <t>CBSX</t>
  </si>
  <si>
    <t>Code</t>
  </si>
  <si>
    <t>Nguyên nhân</t>
  </si>
  <si>
    <t>NPL01</t>
  </si>
  <si>
    <t>thiếu NPL</t>
  </si>
  <si>
    <t>NPL02</t>
  </si>
  <si>
    <t>NPL lỗi</t>
  </si>
  <si>
    <t>NPL03</t>
  </si>
  <si>
    <t>NPL giao muộn</t>
  </si>
  <si>
    <t>NPL04</t>
  </si>
  <si>
    <t>bán thành phẩm chưa cấp</t>
  </si>
  <si>
    <t>NGUYÊN PHỤ LIỆU</t>
  </si>
  <si>
    <t>công nhân mới</t>
  </si>
  <si>
    <t>tay nghề chưa đạt</t>
  </si>
  <si>
    <t>NHÂN LỰC</t>
  </si>
  <si>
    <t>chờ sửa máy</t>
  </si>
  <si>
    <t>MÁY MÓC</t>
  </si>
  <si>
    <t>IE01</t>
  </si>
  <si>
    <t>line chưa cân</t>
  </si>
  <si>
    <t>IE02</t>
  </si>
  <si>
    <t>SMV chưa chuẩn</t>
  </si>
  <si>
    <t>IE03</t>
  </si>
  <si>
    <t>IE/KỸ THUẬT</t>
  </si>
  <si>
    <t>lỗi nhiều</t>
  </si>
  <si>
    <t>sửa hàng nhiều</t>
  </si>
  <si>
    <t>CL01</t>
  </si>
  <si>
    <t>CL02</t>
  </si>
  <si>
    <t>CL03</t>
  </si>
  <si>
    <t>CHẤT LƯỢNG</t>
  </si>
  <si>
    <t>QC tồn hàng</t>
  </si>
  <si>
    <t>máy hỏng nghiêm trọng</t>
  </si>
  <si>
    <t>thiếu máy</t>
  </si>
  <si>
    <t>công đoạn nghẽn nghiêm trọng</t>
  </si>
  <si>
    <t>công nhân nghỉ</t>
  </si>
  <si>
    <t>5M</t>
  </si>
  <si>
    <t>CN01</t>
  </si>
  <si>
    <t>CN02</t>
  </si>
  <si>
    <t>CN03</t>
  </si>
  <si>
    <t>BT01</t>
  </si>
  <si>
    <t>BT02</t>
  </si>
  <si>
    <t>BT03</t>
  </si>
  <si>
    <t>Bộ phận chịu trách nhiệm xử lý</t>
  </si>
  <si>
    <t>CHUYỀN SẢN XUẤT</t>
  </si>
  <si>
    <t>BẢO TOÀN</t>
  </si>
  <si>
    <t>KỸ THUẬT</t>
  </si>
  <si>
    <t>CODE
nguyên nhân</t>
  </si>
  <si>
    <t>Hành động
xử lý</t>
  </si>
  <si>
    <t>Đã xong</t>
  </si>
  <si>
    <t>Đang xử lý</t>
  </si>
  <si>
    <t>Cấp bổ sung</t>
  </si>
  <si>
    <t>Mượn người từ chuyền 14</t>
  </si>
  <si>
    <t>Thay máy</t>
  </si>
  <si>
    <t>Chuyển BP là xử lý</t>
  </si>
  <si>
    <t>tăng 2 QC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</si>
</sst>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b/>
      <sz val="12"/>
      <color rgb="FF0070C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3" borderId="5" xfId="1" applyNumberFormat="1" applyFont="1" applyFill="1" applyBorder="1" applyAlignment="1">
      <alignment horizontal="center" vertical="center" wrapText="1"/>
    </xf>
    <xf numFmtId="164" fontId="3" fillId="3" borderId="6" xfId="1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6" fillId="3" borderId="5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2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F7478-7172-4014-9DBC-E9F21C613878}" name="Table1" displayName="Table1" ref="A5:K11" totalsRowShown="0" headerRowDxfId="21" dataDxfId="19" headerRowBorderDxfId="20" tableBorderDxfId="18" totalsRowBorderDxfId="17" headerRowCellStyle="Comma">
  <autoFilter ref="A5:K11" xr:uid="{5FFF7478-7172-4014-9DBC-E9F21C613878}"/>
  <tableColumns count="11">
    <tableColumn id="1" xr3:uid="{655154E9-8A82-4F53-ABBF-EC2BBABB068D}" name="Chuyền" dataDxfId="16"/>
    <tableColumn id="2" xr3:uid="{6C47BB61-4DAB-426A-96DA-54B4F20FAA28}" name="Mã hàng" dataDxfId="15"/>
    <tableColumn id="3" xr3:uid="{1CAE6FEA-2C01-42B8-AABB-28D93CBCF0BF}" name="GHEP" dataDxfId="14"/>
    <tableColumn id="4" xr3:uid="{1E964270-2BDD-489B-8300-564F89B2CE9A}" name="SỐ LƯỢNG KẾ HOẠCH" dataDxfId="13"/>
    <tableColumn id="5" xr3:uid="{5EA0EC6A-9766-4CDF-96E1-A9AAD35F00AC}" name="Tổng nhập 188" dataDxfId="12"/>
    <tableColumn id="6" xr3:uid="{9866A1C8-BCAC-4BD5-80B5-DCF6A19F0AC0}" name="Ngày chốt 188"/>
    <tableColumn id="7" xr3:uid="{B666EB5A-D370-4929-8B83-3F6D426AB24B}" name="Số ngày còn lại" dataDxfId="11"/>
    <tableColumn id="8" xr3:uid="{2B7F8534-A930-4112-8D1D-5942BC3489C0}" name="Năng suất mỗi ngày"/>
    <tableColumn id="9" xr3:uid="{71327D35-298D-4C59-9CF0-F1B47B6B4720}" name="Năng suất KH" dataDxfId="10"/>
    <tableColumn id="10" xr3:uid="{BFB55131-EE38-41B0-8E24-C021BA67F4DD}" name="Tình trạng" dataDxfId="9">
      <calculatedColumnFormula>IFERROR(IF(I6/H6&lt;0.95,"TRỄ HẸN","OK"),"OK")</calculatedColumnFormula>
    </tableColumn>
    <tableColumn id="11" xr3:uid="{40177BF4-7142-463A-83E0-0C9D6B7AAF9D}" name="Cảnh báo" dataDxfId="8">
      <calculatedColumnFormula>+IFERROR(I6/H6,1)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163AE-541E-45B4-B85A-F0DE5FE16181}" name="Table2" displayName="Table2" ref="A1:D17" totalsRowShown="0" headerRowDxfId="7" headerRowBorderDxfId="6" tableBorderDxfId="5" totalsRowBorderDxfId="4">
  <autoFilter ref="A1:D17" xr:uid="{046163AE-541E-45B4-B85A-F0DE5FE16181}"/>
  <tableColumns count="4">
    <tableColumn id="1" xr3:uid="{F20A7BD2-75A2-405A-B065-C61C6F3FFE8D}" name="5M" dataDxfId="3"/>
    <tableColumn id="2" xr3:uid="{379BC0B9-3AF0-435E-942E-DFCBC7CA35FA}" name="Code" dataDxfId="2"/>
    <tableColumn id="3" xr3:uid="{75599F53-68F3-4E1B-BC0F-46A7BCA1E6DF}" name="Nguyên nhân" dataDxfId="1"/>
    <tableColumn id="4" xr3:uid="{88D15DAC-D28A-4467-8D10-7BDCF5090183}" name="Bộ phận chịu trách nhiệm xử lý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J15" sqref="J15"/>
    </sheetView>
  </sheetViews>
  <sheetFormatPr defaultRowHeight="14.4" x14ac:dyDescent="0.3"/>
  <cols>
    <col min="1" max="2" width="13.44140625" customWidth="1"/>
    <col min="3" max="3" width="13.44140625" hidden="1" customWidth="1"/>
    <col min="4" max="11" width="13.44140625" customWidth="1"/>
  </cols>
  <sheetData>
    <row r="1" spans="1:11" x14ac:dyDescent="0.3">
      <c r="A1" s="4" t="s">
        <v>6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3">
      <c r="A2" s="2">
        <v>46102</v>
      </c>
      <c r="B2" s="2">
        <v>46139</v>
      </c>
      <c r="D2" s="2">
        <v>46142</v>
      </c>
      <c r="E2" s="2">
        <v>46143</v>
      </c>
      <c r="F2" s="2">
        <v>46144</v>
      </c>
      <c r="G2" s="2">
        <v>46195</v>
      </c>
      <c r="H2" s="2">
        <v>46196</v>
      </c>
      <c r="I2" s="2">
        <v>46197</v>
      </c>
    </row>
    <row r="3" spans="1:11" x14ac:dyDescent="0.3">
      <c r="A3" t="s">
        <v>17</v>
      </c>
      <c r="B3" s="3">
        <f ca="1">+NOW()</f>
        <v>46101.773137152777</v>
      </c>
      <c r="C3" s="1"/>
      <c r="D3" s="1"/>
      <c r="E3" s="1"/>
      <c r="F3" s="1"/>
      <c r="G3" s="1"/>
      <c r="H3" s="1"/>
      <c r="I3" s="1"/>
      <c r="J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ht="46.8" x14ac:dyDescent="0.3">
      <c r="A5" s="13" t="s">
        <v>10</v>
      </c>
      <c r="B5" s="14" t="s">
        <v>11</v>
      </c>
      <c r="C5" s="15" t="s">
        <v>5</v>
      </c>
      <c r="D5" s="21" t="s">
        <v>12</v>
      </c>
      <c r="E5" s="15" t="s">
        <v>13</v>
      </c>
      <c r="F5" s="21" t="s">
        <v>7</v>
      </c>
      <c r="G5" s="15" t="s">
        <v>14</v>
      </c>
      <c r="H5" s="15" t="s">
        <v>15</v>
      </c>
      <c r="I5" s="15" t="s">
        <v>8</v>
      </c>
      <c r="J5" s="15" t="s">
        <v>18</v>
      </c>
      <c r="K5" s="16" t="s">
        <v>16</v>
      </c>
    </row>
    <row r="6" spans="1:11" x14ac:dyDescent="0.3">
      <c r="A6" s="10" t="s">
        <v>4</v>
      </c>
      <c r="B6" s="5">
        <v>69401</v>
      </c>
      <c r="C6" s="5" t="str">
        <f>CONCATENATE(A6," ",B6)</f>
        <v>C10 69401</v>
      </c>
      <c r="D6" s="5">
        <v>8000</v>
      </c>
      <c r="E6" s="5">
        <f>SUMIF(DATA_NHAP!D:D,C6,DATA_NHAP!E:E)</f>
        <v>550</v>
      </c>
      <c r="F6" s="6">
        <v>46114</v>
      </c>
      <c r="G6" s="5">
        <f ca="1">NETWORKDAYS.INTL($B$3,F6,11,$A$2:$I$2)</f>
        <v>11</v>
      </c>
      <c r="H6" s="7">
        <f ca="1">+(D6-E6)/G6</f>
        <v>677.27272727272725</v>
      </c>
      <c r="I6" s="5">
        <v>500</v>
      </c>
      <c r="J6" s="5" t="str">
        <f ca="1">IFERROR(IF(I6/H6&lt;0.95,"TRỄ HẸN","OK"),"OK")</f>
        <v>TRỄ HẸN</v>
      </c>
      <c r="K6" s="12">
        <f ca="1">+IFERROR(I6/H6,1)</f>
        <v>0.73825503355704702</v>
      </c>
    </row>
    <row r="7" spans="1:11" x14ac:dyDescent="0.3">
      <c r="A7" s="10" t="s">
        <v>9</v>
      </c>
      <c r="B7" s="5">
        <v>70294</v>
      </c>
      <c r="C7" s="5" t="str">
        <f>CONCATENATE(A7," ",B7)</f>
        <v>C11 70294</v>
      </c>
      <c r="D7" s="5">
        <v>2000</v>
      </c>
      <c r="E7" s="5">
        <f>SUMIF(DATA_NHAP!D:D,C7,DATA_NHAP!E:E)</f>
        <v>200</v>
      </c>
      <c r="F7" s="6">
        <v>46109</v>
      </c>
      <c r="G7" s="5">
        <f ca="1">NETWORKDAYS.INTL($B$3,F7,11,$A$2:$I$2)</f>
        <v>7</v>
      </c>
      <c r="H7" s="7">
        <f ca="1">+(D7-E7)/G7</f>
        <v>257.14285714285717</v>
      </c>
      <c r="I7" s="5">
        <v>200</v>
      </c>
      <c r="J7" s="5" t="str">
        <f t="shared" ref="J7:J11" ca="1" si="0">IFERROR(IF(I7/H7&lt;0.95,"TRỄ HẸN","OK"),"OK")</f>
        <v>TRỄ HẸN</v>
      </c>
      <c r="K7" s="12">
        <f t="shared" ref="K7:K11" ca="1" si="1">+IFERROR(I7/H7,1)</f>
        <v>0.77777777777777768</v>
      </c>
    </row>
    <row r="8" spans="1:11" x14ac:dyDescent="0.3">
      <c r="A8" s="10"/>
      <c r="B8" s="5"/>
      <c r="C8" s="5"/>
      <c r="D8" s="5"/>
      <c r="E8" s="5"/>
      <c r="F8" s="5"/>
      <c r="G8" s="5"/>
      <c r="H8" s="5"/>
      <c r="I8" s="5"/>
      <c r="J8" s="5" t="str">
        <f t="shared" si="0"/>
        <v>OK</v>
      </c>
      <c r="K8" s="12">
        <f t="shared" si="1"/>
        <v>1</v>
      </c>
    </row>
    <row r="9" spans="1:11" x14ac:dyDescent="0.3">
      <c r="A9" s="10"/>
      <c r="B9" s="5"/>
      <c r="C9" s="5"/>
      <c r="D9" s="5"/>
      <c r="E9" s="5"/>
      <c r="F9" s="5"/>
      <c r="G9" s="5"/>
      <c r="H9" s="5"/>
      <c r="I9" s="5"/>
      <c r="J9" s="5" t="str">
        <f t="shared" si="0"/>
        <v>OK</v>
      </c>
      <c r="K9" s="12">
        <f t="shared" si="1"/>
        <v>1</v>
      </c>
    </row>
    <row r="10" spans="1:11" x14ac:dyDescent="0.3">
      <c r="A10" s="11"/>
      <c r="B10" s="8"/>
      <c r="C10" s="8"/>
      <c r="D10" s="8"/>
      <c r="E10" s="8"/>
      <c r="F10" s="8"/>
      <c r="G10" s="8"/>
      <c r="H10" s="8"/>
      <c r="I10" s="8"/>
      <c r="J10" s="5" t="str">
        <f t="shared" si="0"/>
        <v>OK</v>
      </c>
      <c r="K10" s="12">
        <f t="shared" si="1"/>
        <v>1</v>
      </c>
    </row>
    <row r="11" spans="1:11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9" t="str">
        <f t="shared" si="0"/>
        <v>OK</v>
      </c>
      <c r="K11" s="20">
        <f t="shared" si="1"/>
        <v>1</v>
      </c>
    </row>
  </sheetData>
  <conditionalFormatting sqref="K6:K11">
    <cfRule type="iconSet" priority="1">
      <iconSet showValue="0">
        <cfvo type="percent" val="0"/>
        <cfvo type="num" val="0.95"/>
        <cfvo type="num" val="1"/>
      </iconSet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2" sqref="D2"/>
    </sheetView>
  </sheetViews>
  <sheetFormatPr defaultRowHeight="14.4" x14ac:dyDescent="0.3"/>
  <cols>
    <col min="1" max="6" width="13.5546875" style="1" customWidth="1"/>
    <col min="8" max="8" width="15.88671875" customWidth="1"/>
    <col min="9" max="9" width="20.109375" customWidth="1"/>
    <col min="10" max="10" width="27" customWidth="1"/>
    <col min="11" max="11" width="15.109375" customWidth="1"/>
  </cols>
  <sheetData>
    <row r="1" spans="1:11" s="24" customFormat="1" ht="28.8" x14ac:dyDescent="0.3">
      <c r="A1" s="22" t="s">
        <v>0</v>
      </c>
      <c r="B1" s="22" t="s">
        <v>1</v>
      </c>
      <c r="C1" s="22" t="s">
        <v>2</v>
      </c>
      <c r="D1" s="22" t="s">
        <v>5</v>
      </c>
      <c r="E1" s="23" t="s">
        <v>3</v>
      </c>
      <c r="F1" s="22" t="s">
        <v>19</v>
      </c>
      <c r="G1" s="22" t="s">
        <v>20</v>
      </c>
      <c r="H1" s="23" t="s">
        <v>67</v>
      </c>
      <c r="I1" s="22" t="s">
        <v>21</v>
      </c>
      <c r="J1" s="31" t="s">
        <v>68</v>
      </c>
      <c r="K1" s="30" t="s">
        <v>18</v>
      </c>
    </row>
    <row r="2" spans="1:11" x14ac:dyDescent="0.3">
      <c r="A2" s="3">
        <v>46098</v>
      </c>
      <c r="B2" s="1" t="s">
        <v>4</v>
      </c>
      <c r="C2" s="1">
        <v>69401</v>
      </c>
      <c r="D2" s="1" t="str">
        <f>CONCATENATE(B2," ",C2)</f>
        <v>C10 69401</v>
      </c>
      <c r="E2" s="9">
        <v>200</v>
      </c>
      <c r="F2" s="1">
        <f>+VLOOKUP(D2,TONG_HOP!$C$5:$K$11,7,0)</f>
        <v>500</v>
      </c>
      <c r="G2" s="32">
        <f>+IFERROR(E2/F2,0)</f>
        <v>0.4</v>
      </c>
      <c r="H2" s="9" t="s">
        <v>25</v>
      </c>
      <c r="I2" s="1" t="str">
        <f>IFERROR(VLOOKUP(H2,'CODE NN'!$B$1:$D$17,3,0),"OK")</f>
        <v>CBSX</v>
      </c>
      <c r="J2" s="33" t="s">
        <v>71</v>
      </c>
      <c r="K2" s="1" t="s">
        <v>69</v>
      </c>
    </row>
    <row r="3" spans="1:11" x14ac:dyDescent="0.3">
      <c r="A3" s="3">
        <v>46099</v>
      </c>
      <c r="B3" s="1" t="s">
        <v>4</v>
      </c>
      <c r="C3" s="1">
        <v>69401</v>
      </c>
      <c r="D3" s="1" t="str">
        <f t="shared" ref="D3:D6" si="0">CONCATENATE(B3," ",C3)</f>
        <v>C10 69401</v>
      </c>
      <c r="E3" s="9">
        <v>200</v>
      </c>
      <c r="F3" s="1">
        <f>+VLOOKUP(D3,TONG_HOP!$C$5:$K$11,7,0)</f>
        <v>500</v>
      </c>
      <c r="G3" s="32">
        <f t="shared" ref="G3:G6" si="1">+IFERROR(E3/F3,0)</f>
        <v>0.4</v>
      </c>
      <c r="H3" s="9" t="s">
        <v>58</v>
      </c>
      <c r="I3" s="1" t="str">
        <f>IFERROR(VLOOKUP(H3,'CODE NN'!$B$1:$D$17,3,0),"OK")</f>
        <v>CHUYỀN SẢN XUẤT</v>
      </c>
      <c r="J3" s="33" t="s">
        <v>72</v>
      </c>
      <c r="K3" s="1" t="s">
        <v>70</v>
      </c>
    </row>
    <row r="4" spans="1:11" x14ac:dyDescent="0.3">
      <c r="A4" s="3">
        <v>46100</v>
      </c>
      <c r="B4" s="1" t="s">
        <v>4</v>
      </c>
      <c r="C4" s="1">
        <v>69401</v>
      </c>
      <c r="D4" s="1" t="str">
        <f t="shared" si="0"/>
        <v>C10 69401</v>
      </c>
      <c r="E4" s="9">
        <v>150</v>
      </c>
      <c r="F4" s="1">
        <f>+VLOOKUP(D4,TONG_HOP!$C$5:$K$11,7,0)</f>
        <v>500</v>
      </c>
      <c r="G4" s="32">
        <f t="shared" si="1"/>
        <v>0.3</v>
      </c>
      <c r="H4" s="9" t="s">
        <v>62</v>
      </c>
      <c r="I4" s="1" t="str">
        <f>IFERROR(VLOOKUP(H4,'CODE NN'!$B$1:$D$17,3,0),"OK")</f>
        <v>BẢO TOÀN</v>
      </c>
      <c r="J4" s="33" t="s">
        <v>73</v>
      </c>
      <c r="K4" s="1" t="s">
        <v>69</v>
      </c>
    </row>
    <row r="5" spans="1:11" x14ac:dyDescent="0.3">
      <c r="A5" s="3">
        <v>46098</v>
      </c>
      <c r="B5" s="1" t="s">
        <v>9</v>
      </c>
      <c r="C5" s="1">
        <v>70294</v>
      </c>
      <c r="D5" s="1" t="str">
        <f t="shared" si="0"/>
        <v>C11 70294</v>
      </c>
      <c r="E5" s="9">
        <v>0</v>
      </c>
      <c r="F5" s="1">
        <f>+VLOOKUP(D5,TONG_HOP!$C$5:$K$11,7,0)</f>
        <v>200</v>
      </c>
      <c r="G5" s="32">
        <f t="shared" si="1"/>
        <v>0</v>
      </c>
      <c r="H5" s="9" t="s">
        <v>41</v>
      </c>
      <c r="I5" s="1" t="str">
        <f>IFERROR(VLOOKUP(H5,'CODE NN'!$B$1:$D$17,3,0),"OK")</f>
        <v>KỸ THUẬT</v>
      </c>
      <c r="J5" s="33" t="s">
        <v>74</v>
      </c>
      <c r="K5" s="1" t="s">
        <v>69</v>
      </c>
    </row>
    <row r="6" spans="1:11" x14ac:dyDescent="0.3">
      <c r="A6" s="3">
        <v>46099</v>
      </c>
      <c r="B6" s="1" t="s">
        <v>9</v>
      </c>
      <c r="C6" s="1">
        <v>70294</v>
      </c>
      <c r="D6" s="1" t="str">
        <f t="shared" si="0"/>
        <v>C11 70294</v>
      </c>
      <c r="E6" s="9">
        <v>200</v>
      </c>
      <c r="F6" s="1">
        <f>+VLOOKUP(D6,TONG_HOP!$C$5:$K$11,7,0)</f>
        <v>200</v>
      </c>
      <c r="G6" s="32">
        <f t="shared" si="1"/>
        <v>1</v>
      </c>
      <c r="H6" s="9" t="s">
        <v>49</v>
      </c>
      <c r="I6" s="1" t="str">
        <f>IFERROR(VLOOKUP(H6,'CODE NN'!$B$1:$D$17,3,0),"OK")</f>
        <v>CHẤT LƯỢNG</v>
      </c>
      <c r="J6" s="33" t="s">
        <v>75</v>
      </c>
      <c r="K6" s="1" t="s">
        <v>70</v>
      </c>
    </row>
    <row r="7" spans="1:11" x14ac:dyDescent="0.3">
      <c r="G7" s="1"/>
      <c r="H7" s="1"/>
      <c r="I7" s="1"/>
      <c r="J7" s="1"/>
      <c r="K7" s="1"/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8C46-A666-46FB-BE69-ECA97D92AAFE}">
  <dimension ref="A1:D17"/>
  <sheetViews>
    <sheetView workbookViewId="0">
      <selection activeCell="F16" sqref="F16"/>
    </sheetView>
  </sheetViews>
  <sheetFormatPr defaultRowHeight="14.4" x14ac:dyDescent="0.3"/>
  <cols>
    <col min="1" max="1" width="22.5546875" customWidth="1"/>
    <col min="2" max="2" width="11.33203125" customWidth="1"/>
    <col min="3" max="3" width="29.5546875" customWidth="1"/>
    <col min="4" max="4" width="30.33203125" customWidth="1"/>
  </cols>
  <sheetData>
    <row r="1" spans="1:4" x14ac:dyDescent="0.3">
      <c r="A1" s="27" t="s">
        <v>56</v>
      </c>
      <c r="B1" s="28" t="s">
        <v>23</v>
      </c>
      <c r="C1" s="28" t="s">
        <v>24</v>
      </c>
      <c r="D1" s="29" t="s">
        <v>63</v>
      </c>
    </row>
    <row r="2" spans="1:4" x14ac:dyDescent="0.3">
      <c r="A2" s="10" t="s">
        <v>33</v>
      </c>
      <c r="B2" s="5" t="s">
        <v>25</v>
      </c>
      <c r="C2" s="5" t="s">
        <v>26</v>
      </c>
      <c r="D2" s="25" t="s">
        <v>22</v>
      </c>
    </row>
    <row r="3" spans="1:4" x14ac:dyDescent="0.3">
      <c r="A3" s="10" t="s">
        <v>33</v>
      </c>
      <c r="B3" s="5" t="s">
        <v>27</v>
      </c>
      <c r="C3" s="5" t="s">
        <v>28</v>
      </c>
      <c r="D3" s="25" t="s">
        <v>22</v>
      </c>
    </row>
    <row r="4" spans="1:4" x14ac:dyDescent="0.3">
      <c r="A4" s="10" t="s">
        <v>33</v>
      </c>
      <c r="B4" s="5" t="s">
        <v>29</v>
      </c>
      <c r="C4" s="5" t="s">
        <v>30</v>
      </c>
      <c r="D4" s="25" t="s">
        <v>22</v>
      </c>
    </row>
    <row r="5" spans="1:4" x14ac:dyDescent="0.3">
      <c r="A5" s="10" t="s">
        <v>33</v>
      </c>
      <c r="B5" s="5" t="s">
        <v>31</v>
      </c>
      <c r="C5" s="5" t="s">
        <v>32</v>
      </c>
      <c r="D5" s="25" t="s">
        <v>22</v>
      </c>
    </row>
    <row r="6" spans="1:4" x14ac:dyDescent="0.3">
      <c r="A6" s="10" t="s">
        <v>36</v>
      </c>
      <c r="B6" s="5" t="s">
        <v>57</v>
      </c>
      <c r="C6" s="5" t="s">
        <v>55</v>
      </c>
      <c r="D6" s="26" t="s">
        <v>64</v>
      </c>
    </row>
    <row r="7" spans="1:4" x14ac:dyDescent="0.3">
      <c r="A7" s="10" t="s">
        <v>36</v>
      </c>
      <c r="B7" s="5" t="s">
        <v>58</v>
      </c>
      <c r="C7" s="5" t="s">
        <v>34</v>
      </c>
      <c r="D7" s="26" t="s">
        <v>64</v>
      </c>
    </row>
    <row r="8" spans="1:4" x14ac:dyDescent="0.3">
      <c r="A8" s="10" t="s">
        <v>36</v>
      </c>
      <c r="B8" s="5" t="s">
        <v>59</v>
      </c>
      <c r="C8" s="5" t="s">
        <v>35</v>
      </c>
      <c r="D8" s="26" t="s">
        <v>64</v>
      </c>
    </row>
    <row r="9" spans="1:4" x14ac:dyDescent="0.3">
      <c r="A9" s="10" t="s">
        <v>38</v>
      </c>
      <c r="B9" s="5" t="s">
        <v>60</v>
      </c>
      <c r="C9" s="5" t="s">
        <v>37</v>
      </c>
      <c r="D9" s="26" t="s">
        <v>65</v>
      </c>
    </row>
    <row r="10" spans="1:4" x14ac:dyDescent="0.3">
      <c r="A10" s="10" t="s">
        <v>38</v>
      </c>
      <c r="B10" s="5" t="s">
        <v>61</v>
      </c>
      <c r="C10" s="5" t="s">
        <v>53</v>
      </c>
      <c r="D10" s="26" t="s">
        <v>65</v>
      </c>
    </row>
    <row r="11" spans="1:4" x14ac:dyDescent="0.3">
      <c r="A11" s="10" t="s">
        <v>38</v>
      </c>
      <c r="B11" s="5" t="s">
        <v>62</v>
      </c>
      <c r="C11" s="5" t="s">
        <v>52</v>
      </c>
      <c r="D11" s="26" t="s">
        <v>65</v>
      </c>
    </row>
    <row r="12" spans="1:4" x14ac:dyDescent="0.3">
      <c r="A12" s="10" t="s">
        <v>44</v>
      </c>
      <c r="B12" s="5" t="s">
        <v>39</v>
      </c>
      <c r="C12" s="5" t="s">
        <v>40</v>
      </c>
      <c r="D12" s="26" t="s">
        <v>66</v>
      </c>
    </row>
    <row r="13" spans="1:4" x14ac:dyDescent="0.3">
      <c r="A13" s="10" t="s">
        <v>44</v>
      </c>
      <c r="B13" s="5" t="s">
        <v>41</v>
      </c>
      <c r="C13" s="5" t="s">
        <v>42</v>
      </c>
      <c r="D13" s="26" t="s">
        <v>66</v>
      </c>
    </row>
    <row r="14" spans="1:4" x14ac:dyDescent="0.3">
      <c r="A14" s="10" t="s">
        <v>44</v>
      </c>
      <c r="B14" s="5" t="s">
        <v>43</v>
      </c>
      <c r="C14" s="5" t="s">
        <v>54</v>
      </c>
      <c r="D14" s="26" t="s">
        <v>66</v>
      </c>
    </row>
    <row r="15" spans="1:4" x14ac:dyDescent="0.3">
      <c r="A15" s="10" t="s">
        <v>50</v>
      </c>
      <c r="B15" s="5" t="s">
        <v>47</v>
      </c>
      <c r="C15" s="5" t="s">
        <v>45</v>
      </c>
      <c r="D15" s="26" t="s">
        <v>50</v>
      </c>
    </row>
    <row r="16" spans="1:4" x14ac:dyDescent="0.3">
      <c r="A16" s="10" t="s">
        <v>50</v>
      </c>
      <c r="B16" s="5" t="s">
        <v>48</v>
      </c>
      <c r="C16" s="5" t="s">
        <v>46</v>
      </c>
      <c r="D16" s="26" t="s">
        <v>50</v>
      </c>
    </row>
    <row r="17" spans="1:4" x14ac:dyDescent="0.3">
      <c r="A17" s="10" t="s">
        <v>50</v>
      </c>
      <c r="B17" s="19" t="s">
        <v>49</v>
      </c>
      <c r="C17" s="19" t="s">
        <v>51</v>
      </c>
      <c r="D17" s="25" t="s">
        <v>50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TONG_HOP</vt:lpstr>
      <vt:lpstr>DATA_NHAP</vt:lpstr>
      <vt:lpstr>CODE 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cận</cp:lastModifiedBy>
  <dcterms:created xsi:type="dcterms:W3CDTF">2026-03-17T07:13:34Z</dcterms:created>
  <dcterms:modified xsi:type="dcterms:W3CDTF">2026-03-20T11:38:29Z</dcterms:modified>
</cp:coreProperties>
</file>